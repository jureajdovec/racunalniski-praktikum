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dov\Desktop\FAKS\Racunalniski_Praktikum\racunalniski-praktikum\10-razpredelnice\"/>
    </mc:Choice>
  </mc:AlternateContent>
  <xr:revisionPtr revIDLastSave="0" documentId="13_ncr:1_{6829E2DF-BC7D-4304-85DE-F5F551332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15" i="4"/>
  <c r="G17" i="4"/>
  <c r="G18" i="4"/>
  <c r="G19" i="4"/>
  <c r="G20" i="4"/>
  <c r="G4" i="4"/>
  <c r="F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F16" i="4"/>
  <c r="G16" i="4" s="1"/>
  <c r="F17" i="4"/>
  <c r="F18" i="4"/>
  <c r="F19" i="4"/>
  <c r="F20" i="4"/>
  <c r="F21" i="4"/>
  <c r="G2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<sst xmlns="http://schemas.openxmlformats.org/spreadsheetml/2006/main" count="19" uniqueCount="19">
  <si>
    <t>Bencin</t>
  </si>
  <si>
    <t>Veljavnost</t>
  </si>
  <si>
    <t>Datum</t>
  </si>
  <si>
    <t>Litri</t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</si>
  <si>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</si>
  <si>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</si>
  <si>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</si>
  <si>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</si>
  <si>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</si>
  <si>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</si>
  <si>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</si>
  <si>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</si>
  <si>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</si>
  <si>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</si>
  <si>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</si>
  <si>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Mesec</t>
  </si>
  <si>
    <t xml:space="preserve">Povprečna poraba </t>
  </si>
  <si>
    <t>Skupaj km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</si>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</sst>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5" formatCode="#,##0.00\ &quot;€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6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\ &quot;€&quot;"/>
    </dxf>
    <dxf>
      <numFmt numFmtId="2" formatCode="0.00"/>
    </dxf>
    <dxf>
      <numFmt numFmtId="166" formatCode="d/mm/yy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e Ajdovec" refreshedDate="45999.690787268519" createdVersion="8" refreshedVersion="8" minRefreshableVersion="3" recordCount="19" xr:uid="{A67DC054-1185-45C5-83A0-BDF75B30039C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165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String="0" containsBlank="1" containsNumber="1" containsInteger="1" minValue="446" maxValue="683" count="19">
        <m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String="0" containsBlank="1" containsNumber="1" minValue="6.3103953147877014" maxValue="8.1008968609865484" count="19">
        <m/>
        <n v="7.006514657980456"/>
        <n v="6.3136363636363635"/>
        <n v="6.6097087378640778"/>
        <n v="6.8640776699029127"/>
        <n v="6.3103953147877014"/>
        <n v="6.9544626593806917"/>
        <n v="7.0103448275862057"/>
        <n v="6.9821746880570412"/>
        <n v="7.1563055062166967"/>
        <n v="6.646677471636953"/>
        <n v="6.8851851851851853"/>
        <n v="6.9331103678929766"/>
        <n v="7.5726315789473686"/>
        <n v="7.2819548872180455"/>
        <n v="8.1008968609865484"/>
        <n v="7.2251407129455911"/>
        <n v="6.4518272425249181"/>
        <n v="7.1578044596912518"/>
      </sharedItems>
    </cacheField>
    <cacheField name="Prikaz" numFmtId="0">
      <sharedItems containsString="0" containsBlank="1" containsNumber="1" minValue="6.3103953147877014" maxValue="8.1008968609865484"/>
    </cacheField>
    <cacheField name="Days (Datum)" numFmtId="0" databaseField="0">
      <fieldGroup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Months (Datum)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35"/>
  </r>
  <r>
    <x v="3"/>
    <n v="34.04"/>
    <n v="47.043279999999996"/>
    <n v="43696"/>
    <x v="3"/>
    <x v="3"/>
    <n v="6.6097087378640778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14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57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3"/>
  </r>
  <r>
    <x v="11"/>
    <n v="37.18"/>
    <n v="56.178979999999996"/>
    <n v="48407"/>
    <x v="11"/>
    <x v="11"/>
    <n v="6.8851851851851853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81"/>
  </r>
  <r>
    <x v="18"/>
    <n v="41.73"/>
    <n v="64.097279999999998"/>
    <n v="52176"/>
    <x v="18"/>
    <x v="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B2A11-2BCD-48BC-8A99-0F0D51E53BB9}" name="PivotTable1" cacheId="10" dataOnRows="1" applyNumberFormats="0" applyBorderFormats="0" applyFontFormats="0" applyPatternFormats="0" applyAlignmentFormats="0" applyWidthHeightFormats="1" dataCaption="Vrednosti" updatedVersion="8" minRefreshableVersion="3" useAutoFormatting="1" colGrandTotals="0" itemPrintTitles="1" createdVersion="8" indent="0" outline="1" outlineData="1" multipleFieldFilters="0" colHeaderCaption="Mesec">
  <location ref="B24:H29" firstHeaderRow="1" firstDataRow="4" firstDataCol="1"/>
  <pivotFields count="9">
    <pivotField axis="axisCol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165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3">
    <field x="8"/>
    <field x="7"/>
    <field x="0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8" baseItem="5"/>
    <dataField name="Povprečna poraba " fld="5" subtotal="average" baseField="8" baseItem="5"/>
  </dataFields>
  <formats count="1">
    <format dxfId="12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5">
      <calculatedColumnFormula>100 * realna_poraba_cupra__2[[#This Row],[Litri]]/realna_poraba_cupra__2[[#This Row],[Prevoženo]]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4" tableBorderDxfId="3" totalsRowBorderDxfId="2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"/>
    <tableColumn id="2" xr3:uid="{079EA12A-47EB-F54A-8E37-30D8BCE75150}" name="Benci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M29"/>
  <sheetViews>
    <sheetView tabSelected="1" topLeftCell="A3" zoomScale="120" zoomScaleNormal="120" workbookViewId="0">
      <selection activeCell="M4" sqref="M4"/>
    </sheetView>
  </sheetViews>
  <sheetFormatPr defaultColWidth="11.5546875" defaultRowHeight="14.4" x14ac:dyDescent="0.3"/>
  <cols>
    <col min="1" max="1" width="3.77734375" customWidth="1"/>
    <col min="2" max="2" width="17.109375" bestFit="1" customWidth="1"/>
    <col min="3" max="3" width="8.6640625" bestFit="1" customWidth="1"/>
    <col min="4" max="4" width="8" bestFit="1" customWidth="1"/>
    <col min="5" max="6" width="6.77734375" bestFit="1" customWidth="1"/>
    <col min="7" max="7" width="7.21875" bestFit="1" customWidth="1"/>
    <col min="8" max="8" width="6.21875" bestFit="1" customWidth="1"/>
    <col min="9" max="9" width="14.109375" bestFit="1" customWidth="1"/>
    <col min="10" max="10" width="17.21875" bestFit="1" customWidth="1"/>
    <col min="11" max="11" width="14.109375" bestFit="1" customWidth="1"/>
    <col min="12" max="12" width="17.21875" bestFit="1" customWidth="1"/>
    <col min="13" max="13" width="14.109375" bestFit="1" customWidth="1"/>
    <col min="14" max="20" width="15.77734375" bestFit="1" customWidth="1"/>
    <col min="21" max="21" width="11.21875" bestFit="1" customWidth="1"/>
  </cols>
  <sheetData>
    <row r="2" spans="2:13" x14ac:dyDescent="0.3">
      <c r="B2" t="s">
        <v>2</v>
      </c>
      <c r="C2" t="s">
        <v>3</v>
      </c>
      <c r="D2" t="s">
        <v>7</v>
      </c>
      <c r="E2" t="s">
        <v>4</v>
      </c>
      <c r="F2" t="s">
        <v>6</v>
      </c>
      <c r="G2" t="s">
        <v>5</v>
      </c>
      <c r="H2" t="s">
        <v>8</v>
      </c>
      <c r="J2" t="s">
        <v>1</v>
      </c>
      <c r="K2" t="s">
        <v>0</v>
      </c>
    </row>
    <row r="3" spans="2:13" x14ac:dyDescent="0.3">
      <c r="B3" s="1">
        <v>45051</v>
      </c>
      <c r="C3" s="3">
        <v>41.17</v>
      </c>
      <c r="D3" s="5">
        <f>INDEX(Table3[Bencin],MATCH(realna_poraba_cupra__2[[#This Row],[Datum]],Table3[Veljavnost],1)) * realna_poraba_cupra__2[[#This Row],[Litri]]</f>
        <v>58.296720000000001</v>
      </c>
      <c r="E3" s="2">
        <v>41907</v>
      </c>
      <c r="J3" s="1">
        <v>44930</v>
      </c>
      <c r="K3" s="4">
        <v>1.276</v>
      </c>
      <c r="M3">
        <f>_xlfn.XLOOKUP(realna_poraba_cupra__2[[#This Row],[Datum]],Table3[Veljavnost],Table3[Bencin],0,-1)*realna_poraba_cupra__2[[#This Row],[Litri]]</f>
        <v>58.296720000000001</v>
      </c>
    </row>
    <row r="4" spans="2:13" x14ac:dyDescent="0.3">
      <c r="B4" s="1">
        <v>45059</v>
      </c>
      <c r="C4" s="3">
        <v>43.02</v>
      </c>
      <c r="D4" s="5">
        <f>INDEX(Table3[Bencin],MATCH(realna_poraba_cupra__2[[#This Row],[Datum]],Table3[Veljavnost],1)) * 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 * realna_poraba_cupra__2[[#This Row],[Litri]]/realna_poraba_cupra__2[[#This Row],[Prevoženo]]</f>
        <v>7.006514657980456</v>
      </c>
      <c r="H4" s="3">
        <f>100 * realna_poraba_cupra__2[[#This Row],[Litri]]/realna_poraba_cupra__2[[#This Row],[Prevoženo]]</f>
        <v>7.006514657980456</v>
      </c>
      <c r="J4" s="1">
        <v>44943</v>
      </c>
      <c r="K4" s="4">
        <v>1.288</v>
      </c>
    </row>
    <row r="5" spans="2:13" x14ac:dyDescent="0.3">
      <c r="B5" s="1">
        <v>45068</v>
      </c>
      <c r="C5" s="3">
        <v>41.67</v>
      </c>
      <c r="D5" s="5">
        <f>INDEX(Table3[Bencin],MATCH(realna_poraba_cupra__2[[#This Row],[Datum]],Table3[Veljavnost],1)) * 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 * realna_poraba_cupra__2[[#This Row],[Litri]]/realna_poraba_cupra__2[[#This Row],[Prevoženo]]</f>
        <v>6.3136363636363635</v>
      </c>
      <c r="H5" s="3">
        <f>100 * realna_poraba_cupra__2[[#This Row],[Litri]]/realna_poraba_cupra__2[[#This Row],[Prevoženo]]</f>
        <v>6.3136363636363635</v>
      </c>
      <c r="J5" s="1">
        <v>44957</v>
      </c>
      <c r="K5" s="4">
        <v>1.355</v>
      </c>
    </row>
    <row r="6" spans="2:13" x14ac:dyDescent="0.3">
      <c r="B6" s="1">
        <v>45073</v>
      </c>
      <c r="C6" s="3">
        <v>34.04</v>
      </c>
      <c r="D6" s="5">
        <f>INDEX(Table3[Bencin],MATCH(realna_poraba_cupra__2[[#This Row],[Datum]],Table3[Veljavnost],1)) * 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 * realna_poraba_cupra__2[[#This Row],[Litri]]/realna_poraba_cupra__2[[#This Row],[Prevoženo]]</f>
        <v>6.6097087378640778</v>
      </c>
      <c r="H6" s="3">
        <f>100 * realna_poraba_cupra__2[[#This Row],[Litri]]/realna_poraba_cupra__2[[#This Row],[Prevoženo]]</f>
        <v>6.6097087378640778</v>
      </c>
      <c r="J6" s="1">
        <v>44971</v>
      </c>
      <c r="K6" s="4">
        <v>1.355</v>
      </c>
    </row>
    <row r="7" spans="2:13" x14ac:dyDescent="0.3">
      <c r="B7" s="1">
        <v>45085</v>
      </c>
      <c r="C7" s="3">
        <v>42.42</v>
      </c>
      <c r="D7" s="5">
        <f>INDEX(Table3[Bencin],MATCH(realna_poraba_cupra__2[[#This Row],[Datum]],Table3[Veljavnost],1)) * 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 * realna_poraba_cupra__2[[#This Row],[Litri]]/realna_poraba_cupra__2[[#This Row],[Prevoženo]]</f>
        <v>6.8640776699029127</v>
      </c>
      <c r="H7" s="3">
        <f>100 * realna_poraba_cupra__2[[#This Row],[Litri]]/realna_poraba_cupra__2[[#This Row],[Prevoženo]]</f>
        <v>6.8640776699029127</v>
      </c>
      <c r="J7" s="1">
        <v>44985</v>
      </c>
      <c r="K7" s="4">
        <v>1.359</v>
      </c>
    </row>
    <row r="8" spans="2:13" x14ac:dyDescent="0.3">
      <c r="B8" s="1">
        <v>45093</v>
      </c>
      <c r="C8" s="3">
        <v>43.1</v>
      </c>
      <c r="D8" s="5">
        <f>INDEX(Table3[Bencin],MATCH(realna_poraba_cupra__2[[#This Row],[Datum]],Table3[Veljavnost],1)) * 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 * realna_poraba_cupra__2[[#This Row],[Litri]]/realna_poraba_cupra__2[[#This Row],[Prevoženo]]</f>
        <v>6.3103953147877014</v>
      </c>
      <c r="H8" s="3">
        <f>100 * realna_poraba_cupra__2[[#This Row],[Litri]]/realna_poraba_cupra__2[[#This Row],[Prevoženo]]</f>
        <v>6.3103953147877014</v>
      </c>
      <c r="J8" s="1">
        <v>44999</v>
      </c>
      <c r="K8" s="4">
        <v>1.3740000000000001</v>
      </c>
    </row>
    <row r="9" spans="2:13" x14ac:dyDescent="0.3">
      <c r="B9" s="1">
        <v>45099</v>
      </c>
      <c r="C9" s="3">
        <v>38.18</v>
      </c>
      <c r="D9" s="5">
        <f>INDEX(Table3[Bencin],MATCH(realna_poraba_cupra__2[[#This Row],[Datum]],Table3[Veljavnost],1)) * 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 * realna_poraba_cupra__2[[#This Row],[Litri]]/realna_poraba_cupra__2[[#This Row],[Prevoženo]]</f>
        <v>6.9544626593806917</v>
      </c>
      <c r="H9" s="3">
        <f>100 * realna_poraba_cupra__2[[#This Row],[Litri]]/realna_poraba_cupra__2[[#This Row],[Prevoženo]]</f>
        <v>6.9544626593806917</v>
      </c>
      <c r="J9" s="1">
        <v>45013</v>
      </c>
      <c r="K9" s="4">
        <v>1.3740000000000001</v>
      </c>
    </row>
    <row r="10" spans="2:13" x14ac:dyDescent="0.3">
      <c r="B10" s="1">
        <v>45113</v>
      </c>
      <c r="C10" s="3">
        <v>40.659999999999997</v>
      </c>
      <c r="D10" s="5">
        <f>INDEX(Table3[Bencin],MATCH(realna_poraba_cupra__2[[#This Row],[Datum]],Table3[Veljavnost],1)) * 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 * realna_poraba_cupra__2[[#This Row],[Litri]]/realna_poraba_cupra__2[[#This Row],[Prevoženo]]</f>
        <v>7.0103448275862057</v>
      </c>
      <c r="H10" s="3">
        <f>100 * realna_poraba_cupra__2[[#This Row],[Litri]]/realna_poraba_cupra__2[[#This Row],[Prevoženo]]</f>
        <v>7.0103448275862057</v>
      </c>
      <c r="J10" s="1">
        <v>45028</v>
      </c>
      <c r="K10" s="4">
        <v>1.4159999999999999</v>
      </c>
    </row>
    <row r="11" spans="2:13" x14ac:dyDescent="0.3">
      <c r="B11" s="1">
        <v>45122</v>
      </c>
      <c r="C11" s="3">
        <v>39.17</v>
      </c>
      <c r="D11" s="5">
        <f>INDEX(Table3[Bencin],MATCH(realna_poraba_cupra__2[[#This Row],[Datum]],Table3[Veljavnost],1)) * 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 * realna_poraba_cupra__2[[#This Row],[Litri]]/realna_poraba_cupra__2[[#This Row],[Prevoženo]]</f>
        <v>6.9821746880570412</v>
      </c>
      <c r="H11" s="3">
        <f>100 * realna_poraba_cupra__2[[#This Row],[Litri]]/realna_poraba_cupra__2[[#This Row],[Prevoženo]]</f>
        <v>6.9821746880570412</v>
      </c>
      <c r="J11" s="1">
        <v>45041</v>
      </c>
      <c r="K11" s="4">
        <v>1.4159999999999999</v>
      </c>
    </row>
    <row r="12" spans="2:13" x14ac:dyDescent="0.3">
      <c r="B12" s="1">
        <v>45129</v>
      </c>
      <c r="C12" s="3">
        <v>40.29</v>
      </c>
      <c r="D12" s="5">
        <f>INDEX(Table3[Bencin],MATCH(realna_poraba_cupra__2[[#This Row],[Datum]],Table3[Veljavnost],1)) * 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 * realna_poraba_cupra__2[[#This Row],[Litri]]/realna_poraba_cupra__2[[#This Row],[Prevoženo]]</f>
        <v>7.1563055062166967</v>
      </c>
      <c r="H12" s="3">
        <f>100 * realna_poraba_cupra__2[[#This Row],[Litri]]/realna_poraba_cupra__2[[#This Row],[Prevoženo]]</f>
        <v>7.1563055062166967</v>
      </c>
      <c r="J12" s="1">
        <v>45055</v>
      </c>
      <c r="K12" s="4">
        <v>1.39</v>
      </c>
    </row>
    <row r="13" spans="2:13" x14ac:dyDescent="0.3">
      <c r="B13" s="1">
        <v>45138</v>
      </c>
      <c r="C13" s="3">
        <v>41.01</v>
      </c>
      <c r="D13" s="5">
        <f>INDEX(Table3[Bencin],MATCH(realna_poraba_cupra__2[[#This Row],[Datum]],Table3[Veljavnost],1)) * 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 * realna_poraba_cupra__2[[#This Row],[Litri]]/realna_poraba_cupra__2[[#This Row],[Prevoženo]]</f>
        <v>6.646677471636953</v>
      </c>
      <c r="H13" s="3">
        <f>100 * realna_poraba_cupra__2[[#This Row],[Litri]]/realna_poraba_cupra__2[[#This Row],[Prevoženo]]</f>
        <v>6.646677471636953</v>
      </c>
      <c r="J13" s="1">
        <v>45069</v>
      </c>
      <c r="K13" s="4">
        <v>1.3819999999999999</v>
      </c>
    </row>
    <row r="14" spans="2:13" x14ac:dyDescent="0.3">
      <c r="B14" s="1">
        <v>45151</v>
      </c>
      <c r="C14" s="3">
        <v>37.18</v>
      </c>
      <c r="D14" s="5">
        <f>INDEX(Table3[Bencin],MATCH(realna_poraba_cupra__2[[#This Row],[Datum]],Table3[Veljavnost],1)) * 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 * realna_poraba_cupra__2[[#This Row],[Litri]]/realna_poraba_cupra__2[[#This Row],[Prevoženo]]</f>
        <v>6.8851851851851853</v>
      </c>
      <c r="H14" s="3">
        <f>100 * realna_poraba_cupra__2[[#This Row],[Litri]]/realna_poraba_cupra__2[[#This Row],[Prevoženo]]</f>
        <v>6.8851851851851853</v>
      </c>
      <c r="J14" s="1">
        <v>45083</v>
      </c>
      <c r="K14" s="4">
        <v>1.4119999999999999</v>
      </c>
    </row>
    <row r="15" spans="2:13" x14ac:dyDescent="0.3">
      <c r="B15" s="1">
        <v>45163</v>
      </c>
      <c r="C15" s="3">
        <v>41.46</v>
      </c>
      <c r="D15" s="5">
        <f>INDEX(Table3[Bencin],MATCH(realna_poraba_cupra__2[[#This Row],[Datum]],Table3[Veljavnost],1)) * 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 * realna_poraba_cupra__2[[#This Row],[Litri]]/realna_poraba_cupra__2[[#This Row],[Prevoženo]]</f>
        <v>6.9331103678929766</v>
      </c>
      <c r="H15" s="3">
        <f>100 * realna_poraba_cupra__2[[#This Row],[Litri]]/realna_poraba_cupra__2[[#This Row],[Prevoženo]]</f>
        <v>6.9331103678929766</v>
      </c>
      <c r="J15" s="1">
        <v>45097</v>
      </c>
      <c r="K15" s="4">
        <v>1.4239999999999999</v>
      </c>
    </row>
    <row r="16" spans="2:13" x14ac:dyDescent="0.3">
      <c r="B16" s="1">
        <v>45175</v>
      </c>
      <c r="C16" s="3">
        <v>35.97</v>
      </c>
      <c r="D16" s="5">
        <f>INDEX(Table3[Bencin],MATCH(realna_poraba_cupra__2[[#This Row],[Datum]],Table3[Veljavnost],1)) * 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 * realna_poraba_cupra__2[[#This Row],[Litri]]/realna_poraba_cupra__2[[#This Row],[Prevoženo]]</f>
        <v>7.5726315789473686</v>
      </c>
      <c r="H16" s="3">
        <f>100 * realna_poraba_cupra__2[[#This Row],[Litri]]/realna_poraba_cupra__2[[#This Row],[Prevoženo]]</f>
        <v>7.5726315789473686</v>
      </c>
      <c r="J16" s="1">
        <v>45111</v>
      </c>
      <c r="K16" s="4">
        <v>1.444</v>
      </c>
    </row>
    <row r="17" spans="2:11" x14ac:dyDescent="0.3">
      <c r="B17" s="1">
        <v>45184</v>
      </c>
      <c r="C17" s="3">
        <v>38.74</v>
      </c>
      <c r="D17" s="5">
        <f>INDEX(Table3[Bencin],MATCH(realna_poraba_cupra__2[[#This Row],[Datum]],Table3[Veljavnost],1)) * 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 * realna_poraba_cupra__2[[#This Row],[Litri]]/realna_poraba_cupra__2[[#This Row],[Prevoženo]]</f>
        <v>7.2819548872180455</v>
      </c>
      <c r="H17" s="3">
        <f>100 * realna_poraba_cupra__2[[#This Row],[Litri]]/realna_poraba_cupra__2[[#This Row],[Prevoženo]]</f>
        <v>7.2819548872180455</v>
      </c>
      <c r="J17" s="1">
        <v>45125</v>
      </c>
      <c r="K17" s="4">
        <v>1.456</v>
      </c>
    </row>
    <row r="18" spans="2:11" x14ac:dyDescent="0.3">
      <c r="B18" s="1">
        <v>45191</v>
      </c>
      <c r="C18" s="3">
        <v>36.130000000000003</v>
      </c>
      <c r="D18" s="5">
        <f>INDEX(Table3[Bencin],MATCH(realna_poraba_cupra__2[[#This Row],[Datum]],Table3[Veljavnost],1)) * 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 * realna_poraba_cupra__2[[#This Row],[Litri]]/realna_poraba_cupra__2[[#This Row],[Prevoženo]]</f>
        <v>8.1008968609865484</v>
      </c>
      <c r="H18" s="3">
        <f>100 * realna_poraba_cupra__2[[#This Row],[Litri]]/realna_poraba_cupra__2[[#This Row],[Prevoženo]]</f>
        <v>8.1008968609865484</v>
      </c>
      <c r="J18" s="1">
        <v>45139</v>
      </c>
      <c r="K18" s="4">
        <v>1.5109999999999999</v>
      </c>
    </row>
    <row r="19" spans="2:11" x14ac:dyDescent="0.3">
      <c r="B19" s="1">
        <v>45198</v>
      </c>
      <c r="C19" s="3">
        <v>38.51</v>
      </c>
      <c r="D19" s="5">
        <f>INDEX(Table3[Bencin],MATCH(realna_poraba_cupra__2[[#This Row],[Datum]],Table3[Veljavnost],1)) * 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 * realna_poraba_cupra__2[[#This Row],[Litri]]/realna_poraba_cupra__2[[#This Row],[Prevoženo]]</f>
        <v>7.2251407129455911</v>
      </c>
      <c r="H19" s="3">
        <f>100 * realna_poraba_cupra__2[[#This Row],[Litri]]/realna_poraba_cupra__2[[#This Row],[Prevoženo]]</f>
        <v>7.2251407129455911</v>
      </c>
      <c r="J19" s="1">
        <v>45155</v>
      </c>
      <c r="K19" s="4">
        <v>1.5109999999999999</v>
      </c>
    </row>
    <row r="20" spans="2:11" x14ac:dyDescent="0.3">
      <c r="B20" s="1">
        <v>45205</v>
      </c>
      <c r="C20" s="3">
        <v>38.840000000000003</v>
      </c>
      <c r="D20" s="5">
        <f>INDEX(Table3[Bencin],MATCH(realna_poraba_cupra__2[[#This Row],[Datum]],Table3[Veljavnost],1)) * 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 * realna_poraba_cupra__2[[#This Row],[Litri]]/realna_poraba_cupra__2[[#This Row],[Prevoženo]]</f>
        <v>6.4518272425249181</v>
      </c>
      <c r="H20" s="3">
        <f>100 * realna_poraba_cupra__2[[#This Row],[Litri]]/realna_poraba_cupra__2[[#This Row],[Prevoženo]]</f>
        <v>6.4518272425249181</v>
      </c>
      <c r="J20" s="1">
        <v>45167</v>
      </c>
      <c r="K20" s="4">
        <v>1.544</v>
      </c>
    </row>
    <row r="21" spans="2:11" x14ac:dyDescent="0.3">
      <c r="B21" s="1">
        <v>45213</v>
      </c>
      <c r="C21" s="3">
        <v>41.73</v>
      </c>
      <c r="D21" s="5">
        <f>INDEX(Table3[Bencin],MATCH(realna_poraba_cupra__2[[#This Row],[Datum]],Table3[Veljavnost],1)) * 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 * realna_poraba_cupra__2[[#This Row],[Litri]]/realna_poraba_cupra__2[[#This Row],[Prevoženo]]</f>
        <v>7.1578044596912518</v>
      </c>
      <c r="H21" s="3">
        <f>100 * realna_poraba_cupra__2[[#This Row],[Litri]]/realna_poraba_cupra__2[[#This Row],[Prevoženo]]</f>
        <v>7.1578044596912518</v>
      </c>
      <c r="J21" s="1">
        <v>45181</v>
      </c>
      <c r="K21" s="4">
        <v>1.5509999999999999</v>
      </c>
    </row>
    <row r="22" spans="2:11" x14ac:dyDescent="0.3">
      <c r="J22" s="1">
        <v>45195</v>
      </c>
      <c r="K22" s="4">
        <v>1.5880000000000001</v>
      </c>
    </row>
    <row r="23" spans="2:11" x14ac:dyDescent="0.3">
      <c r="J23" s="1">
        <v>45209</v>
      </c>
      <c r="K23" s="4">
        <v>1.536</v>
      </c>
    </row>
    <row r="24" spans="2:11" x14ac:dyDescent="0.3">
      <c r="C24" s="6" t="s">
        <v>15</v>
      </c>
      <c r="J24" s="1">
        <v>45223</v>
      </c>
      <c r="K24" s="4">
        <v>1.536</v>
      </c>
    </row>
    <row r="25" spans="2:11" x14ac:dyDescent="0.3"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J25" s="1">
        <v>45237</v>
      </c>
      <c r="K25" s="4">
        <v>1.534</v>
      </c>
    </row>
    <row r="27" spans="2:11" x14ac:dyDescent="0.3">
      <c r="B27" s="6" t="s">
        <v>18</v>
      </c>
    </row>
    <row r="28" spans="2:11" x14ac:dyDescent="0.3">
      <c r="B28" s="7" t="s">
        <v>17</v>
      </c>
      <c r="C28">
        <v>1789</v>
      </c>
      <c r="D28">
        <v>1850</v>
      </c>
      <c r="E28">
        <v>2321</v>
      </c>
      <c r="F28">
        <v>1138</v>
      </c>
      <c r="G28">
        <v>1986</v>
      </c>
      <c r="H28">
        <v>1185</v>
      </c>
    </row>
    <row r="29" spans="2:11" x14ac:dyDescent="0.3">
      <c r="B29" s="7" t="s">
        <v>16</v>
      </c>
      <c r="C29" s="3">
        <v>6.643286586493633</v>
      </c>
      <c r="D29" s="3">
        <v>6.7096452146904353</v>
      </c>
      <c r="E29" s="3">
        <v>6.9488756233742235</v>
      </c>
      <c r="F29" s="3">
        <v>6.909147776539081</v>
      </c>
      <c r="G29" s="3">
        <v>7.5451560100243888</v>
      </c>
      <c r="H29" s="3">
        <v>6.804815851108085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{81428DD6-5BE5-4744-82FF-0B9396E74F1F}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428DD6-5BE5-4744-82FF-0B9396E74F1F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Ajdovec, Jure</cp:lastModifiedBy>
  <dcterms:created xsi:type="dcterms:W3CDTF">2007-10-01T06:54:22Z</dcterms:created>
  <dcterms:modified xsi:type="dcterms:W3CDTF">2026-01-05T15:23:20Z</dcterms:modified>
</cp:coreProperties>
</file>